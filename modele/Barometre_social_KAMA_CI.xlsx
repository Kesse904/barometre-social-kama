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DA7D92-9E33-43D3-91A4-E4CDE7B0C6FF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Guide" sheetId="1" r:id="rId1"/>
    <sheet name="Questionnaire" sheetId="2" r:id="rId2"/>
    <sheet name="Saisie des réponses" sheetId="3" r:id="rId3"/>
    <sheet name="Résultats" sheetId="4" r:id="rId4"/>
  </sheet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D13" i="4" s="1"/>
  <c r="B12" i="4"/>
  <c r="D12" i="4" s="1"/>
  <c r="B11" i="4"/>
  <c r="D11" i="4" s="1"/>
  <c r="B10" i="4"/>
  <c r="C10" i="4" s="1"/>
  <c r="B9" i="4"/>
  <c r="C9" i="4" s="1"/>
  <c r="B8" i="4"/>
  <c r="D8" i="4" s="1"/>
  <c r="B7" i="4"/>
  <c r="D7" i="4" s="1"/>
  <c r="B6" i="4"/>
  <c r="C6" i="4" s="1"/>
  <c r="B3" i="4"/>
  <c r="C12" i="4" l="1"/>
  <c r="C11" i="4"/>
  <c r="D9" i="4"/>
  <c r="D6" i="4"/>
  <c r="D10" i="4"/>
  <c r="C13" i="4"/>
  <c r="C7" i="4"/>
  <c r="C8" i="4"/>
  <c r="B15" i="4"/>
  <c r="D15" i="4" l="1"/>
  <c r="C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>Rémunération &amp; avantages
Je considère que ma rémunération est cohérente avec mon poste et mes responsabilités</t>
        </r>
      </text>
    </comment>
    <comment ref="E1" authorId="0" shapeId="0" xr:uid="{00000000-0006-0000-0200-000002000000}">
      <text>
        <r>
          <rPr>
            <sz val="10"/>
            <rFont val="Arial"/>
            <family val="2"/>
          </rPr>
          <t>Rémunération &amp; avantages
Les avantages sociaux proposés (transport, santé, primes...) répondent à mes besoins</t>
        </r>
      </text>
    </comment>
    <comment ref="F1" authorId="0" shapeId="0" xr:uid="{00000000-0006-0000-0200-000003000000}">
      <text>
        <r>
          <rPr>
            <sz val="10"/>
            <rFont val="Arial"/>
            <family val="2"/>
          </rPr>
          <t>Rémunération &amp; avantages
Les règles de rémunération et d'évolution salariale sont claires et équitables</t>
        </r>
      </text>
    </comment>
    <comment ref="G1" authorId="0" shapeId="0" xr:uid="{00000000-0006-0000-0200-000004000000}">
      <text>
        <r>
          <rPr>
            <sz val="10"/>
            <rFont val="Arial"/>
            <family val="2"/>
          </rPr>
          <t>Conditions de travail &amp; charge
Ma charge de travail est raisonnable et soutenable dans la durée</t>
        </r>
      </text>
    </comment>
    <comment ref="H1" authorId="0" shapeId="0" xr:uid="{00000000-0006-0000-0200-000005000000}">
      <text>
        <r>
          <rPr>
            <sz val="10"/>
            <rFont val="Arial"/>
            <family val="2"/>
          </rPr>
          <t>Conditions de travail &amp; charge
Je dispose des moyens et outils nécessaires pour bien faire mon travail</t>
        </r>
      </text>
    </comment>
    <comment ref="I1" authorId="0" shapeId="0" xr:uid="{00000000-0006-0000-0200-000006000000}">
      <text>
        <r>
          <rPr>
            <sz val="10"/>
            <rFont val="Arial"/>
            <family val="2"/>
          </rPr>
          <t>Conditions de travail &amp; charge
Mon environnement de travail (locaux, sécurité, équipements) est satisfaisant</t>
        </r>
      </text>
    </comment>
    <comment ref="J1" authorId="0" shapeId="0" xr:uid="{00000000-0006-0000-0200-000007000000}">
      <text>
        <r>
          <rPr>
            <sz val="10"/>
            <rFont val="Arial"/>
            <family val="2"/>
          </rPr>
          <t>Management &amp; encadrement
Mon responsable direct me donne des consignes claires</t>
        </r>
      </text>
    </comment>
    <comment ref="K1" authorId="0" shapeId="0" xr:uid="{00000000-0006-0000-0200-000008000000}">
      <text>
        <r>
          <rPr>
            <sz val="10"/>
            <rFont val="Arial"/>
            <family val="2"/>
          </rPr>
          <t>Management &amp; encadrement
Mon responsable direct est à l'écoute et disponible en cas de difficulté</t>
        </r>
      </text>
    </comment>
    <comment ref="L1" authorId="0" shapeId="0" xr:uid="{00000000-0006-0000-0200-000009000000}">
      <text>
        <r>
          <rPr>
            <sz val="10"/>
            <rFont val="Arial"/>
            <family val="2"/>
          </rPr>
          <t>Management &amp; encadrement
Je fais confiance à la ligne managériale de mon service</t>
        </r>
      </text>
    </comment>
    <comment ref="M1" authorId="0" shapeId="0" xr:uid="{00000000-0006-0000-0200-00000A000000}">
      <text>
        <r>
          <rPr>
            <sz val="10"/>
            <rFont val="Arial"/>
            <family val="2"/>
          </rPr>
          <t>Communication interne
Je suis informé(e) en temps utile des décisions qui concernent mon activité</t>
        </r>
      </text>
    </comment>
    <comment ref="N1" authorId="0" shapeId="0" xr:uid="{00000000-0006-0000-0200-00000B000000}">
      <text>
        <r>
          <rPr>
            <sz val="10"/>
            <rFont val="Arial"/>
            <family val="2"/>
          </rPr>
          <t>Communication interne
La communication entre les services fonctionne bien</t>
        </r>
      </text>
    </comment>
    <comment ref="O1" authorId="0" shapeId="0" xr:uid="{00000000-0006-0000-0200-00000C000000}">
      <text>
        <r>
          <rPr>
            <sz val="10"/>
            <rFont val="Arial"/>
            <family val="2"/>
          </rPr>
          <t>Communication interne
Je peux m'exprimer librement sur mes conditions de travail sans crainte</t>
        </r>
      </text>
    </comment>
    <comment ref="P1" authorId="0" shapeId="0" xr:uid="{00000000-0006-0000-0200-00000D000000}">
      <text>
        <r>
          <rPr>
            <sz val="10"/>
            <rFont val="Arial"/>
            <family val="2"/>
          </rPr>
          <t>Reconnaissance &amp; évolution
Mon travail et mes efforts sont reconnus à leur juste valeur</t>
        </r>
      </text>
    </comment>
    <comment ref="Q1" authorId="0" shapeId="0" xr:uid="{00000000-0006-0000-0200-00000E000000}">
      <text>
        <r>
          <rPr>
            <sz val="10"/>
            <rFont val="Arial"/>
            <family val="2"/>
          </rPr>
          <t>Reconnaissance &amp; évolution
J'ai une visibilité claire sur mes perspectives d'évolution au sein de KAMA</t>
        </r>
      </text>
    </comment>
    <comment ref="R1" authorId="0" shapeId="0" xr:uid="{00000000-0006-0000-0200-00000F000000}">
      <text>
        <r>
          <rPr>
            <sz val="10"/>
            <rFont val="Arial"/>
            <family val="2"/>
          </rPr>
          <t>Reconnaissance &amp; évolution
J'ai accès à des formations utiles pour progresser dans mon poste</t>
        </r>
      </text>
    </comment>
    <comment ref="S1" authorId="0" shapeId="0" xr:uid="{00000000-0006-0000-0200-000010000000}">
      <text>
        <r>
          <rPr>
            <sz val="10"/>
            <rFont val="Arial"/>
            <family val="2"/>
          </rPr>
          <t>Ambiance &amp; relations sociales
L'ambiance de travail au sein de mon équipe est bonne</t>
        </r>
      </text>
    </comment>
    <comment ref="T1" authorId="0" shapeId="0" xr:uid="{00000000-0006-0000-0200-000011000000}">
      <text>
        <r>
          <rPr>
            <sz val="10"/>
            <rFont val="Arial"/>
            <family val="2"/>
          </rPr>
          <t>Ambiance &amp; relations sociales
Les relations entre collègues sont basées sur le respect et l'entraide</t>
        </r>
      </text>
    </comment>
    <comment ref="U1" authorId="0" shapeId="0" xr:uid="{00000000-0006-0000-0200-000012000000}">
      <text>
        <r>
          <rPr>
            <sz val="10"/>
            <rFont val="Arial"/>
            <family val="2"/>
          </rPr>
          <t>Ambiance &amp; relations sociales
Les tensions ou conflits sont traités rapidement et équitablement</t>
        </r>
      </text>
    </comment>
    <comment ref="V1" authorId="0" shapeId="0" xr:uid="{00000000-0006-0000-0200-000013000000}">
      <text>
        <r>
          <rPr>
            <sz val="10"/>
            <rFont val="Arial"/>
            <family val="2"/>
          </rPr>
          <t>Sécurité &amp; santé au travail
Je me sens en sécurité physique dans l'exercice de mon travail</t>
        </r>
      </text>
    </comment>
    <comment ref="W1" authorId="0" shapeId="0" xr:uid="{00000000-0006-0000-0200-000014000000}">
      <text>
        <r>
          <rPr>
            <sz val="10"/>
            <rFont val="Arial"/>
            <family val="2"/>
          </rPr>
          <t>Sécurité &amp; santé au travail
Le niveau de stress lié à mon travail reste supportable</t>
        </r>
      </text>
    </comment>
    <comment ref="X1" authorId="0" shapeId="0" xr:uid="{00000000-0006-0000-0200-000015000000}">
      <text>
        <r>
          <rPr>
            <sz val="10"/>
            <rFont val="Arial"/>
            <family val="2"/>
          </rPr>
          <t>Sécurité &amp; santé au travail
Je peux concilier vie professionnelle et vie personnelle de façon satisfaisante</t>
        </r>
      </text>
    </comment>
    <comment ref="Y1" authorId="0" shapeId="0" xr:uid="{00000000-0006-0000-0200-000016000000}">
      <text>
        <r>
          <rPr>
            <sz val="10"/>
            <rFont val="Arial"/>
            <family val="2"/>
          </rPr>
          <t>Confiance envers la direction
J'ai confiance dans les décisions prises par la direction de KAMA CI</t>
        </r>
      </text>
    </comment>
    <comment ref="Z1" authorId="0" shapeId="0" xr:uid="{00000000-0006-0000-0200-000017000000}">
      <text>
        <r>
          <rPr>
            <sz val="10"/>
            <rFont val="Arial"/>
            <family val="2"/>
          </rPr>
          <t>Confiance envers la direction
Je me sens traité(e) équitablement, quel que soit mon service ou mon statut</t>
        </r>
      </text>
    </comment>
    <comment ref="AA1" authorId="0" shapeId="0" xr:uid="{00000000-0006-0000-0200-000018000000}">
      <text>
        <r>
          <rPr>
            <sz val="10"/>
            <rFont val="Arial"/>
            <family val="2"/>
          </rPr>
          <t>Confiance envers la direction
Je recommanderais KAMA CI comme employeur à un proche</t>
        </r>
      </text>
    </comment>
  </commentList>
</comments>
</file>

<file path=xl/sharedStrings.xml><?xml version="1.0" encoding="utf-8"?>
<sst xmlns="http://schemas.openxmlformats.org/spreadsheetml/2006/main" count="120" uniqueCount="95">
  <si>
    <t>Baromètre social — KAMA Côte d'Ivoire</t>
  </si>
  <si>
    <t>Objectif</t>
  </si>
  <si>
    <t>Cet outil permet de mesurer le climat social au sein de KAMA CI à travers 8 thèmes clés et 24 questions notées de 1 (pas du tout d'accord) à 5 (tout à fait d'accord). Il donne une photographie chiffrée de la situation, utile pour prioriser les actions RH et suivre leur effet dans le temps.</t>
  </si>
  <si>
    <t>Comment l'utiliser</t>
  </si>
  <si>
    <t>1. Diffuser le questionnaire (onglet "Questionnaire") aux collaborateurs, en présentiel, sur papier ou via un formulaire en ligne reprenant les mêmes questions. L'anonymat des réponses renforce la sincérité des retours.</t>
  </si>
  <si>
    <t>2. Saisir chaque réponse individuelle dans l'onglet "Saisie des réponses" — une ligne par répondant, une colonne par question (note de 1 à 5). Les cellules à remplir sont en jaune.</t>
  </si>
  <si>
    <t>3. Consulter l'onglet "Résultats" : les scores par thème et le score global se calculent automatiquement, avec un graphique et une lecture qualitative (Alerte / Fragile / Correct / Solide).</t>
  </si>
  <si>
    <t>4. Répéter l'enquête à intervalle régulier (ex. tous les 6 mois) pour suivre l'évolution et mesurer l'impact des actions engagées.</t>
  </si>
  <si>
    <t>Échelle de notation</t>
  </si>
  <si>
    <t>1 = Pas du tout d'accord   |   2 = Plutôt pas d'accord   |   3 = Neutre   |   4 = Plutôt d'accord   |   5 = Tout à fait d'accord</t>
  </si>
  <si>
    <t>Lecture des scores (sur 5)</t>
  </si>
  <si>
    <t>Moins de 2,5 : Alerte — point de tension nécessitant une action RH prioritaire
2,5 à 3,4 : Fragile — vigilance et plan d'action à envisager
3,5 à 4,2 : Correct — climat globalement sain, marge de progrès
Plus de 4,2 : Solide — point fort à préserver et valoriser</t>
  </si>
  <si>
    <t>N°</t>
  </si>
  <si>
    <t>Thème</t>
  </si>
  <si>
    <t>Question</t>
  </si>
  <si>
    <t>Votre note (1 à 5)</t>
  </si>
  <si>
    <t>Rémunération &amp; avantages</t>
  </si>
  <si>
    <t>Je considère que ma rémunération est cohérente avec mon poste et mes responsabilités</t>
  </si>
  <si>
    <t>Les avantages sociaux proposés (transport, santé, primes...) répondent à mes besoins</t>
  </si>
  <si>
    <t>Les règles de rémunération et d'évolution salariale sont claires et équitables</t>
  </si>
  <si>
    <t>Conditions de travail &amp; charge</t>
  </si>
  <si>
    <t>Ma charge de travail est raisonnable et soutenable dans la durée</t>
  </si>
  <si>
    <t>Je dispose des moyens et outils nécessaires pour bien faire mon travail</t>
  </si>
  <si>
    <t>Mon environnement de travail (locaux, sécurité, équipements) est satisfaisant</t>
  </si>
  <si>
    <t>Management &amp; encadrement</t>
  </si>
  <si>
    <t>Mon responsable direct me donne des consignes claires</t>
  </si>
  <si>
    <t>Mon responsable direct est à l'écoute et disponible en cas de difficulté</t>
  </si>
  <si>
    <t>Je fais confiance à la ligne managériale de mon service</t>
  </si>
  <si>
    <t>Communication interne</t>
  </si>
  <si>
    <t>Je suis informé(e) en temps utile des décisions qui concernent mon activité</t>
  </si>
  <si>
    <t>La communication entre les services fonctionne bien</t>
  </si>
  <si>
    <t>Je peux m'exprimer librement sur mes conditions de travail sans crainte</t>
  </si>
  <si>
    <t>Reconnaissance &amp; évolution</t>
  </si>
  <si>
    <t>Mon travail et mes efforts sont reconnus à leur juste valeur</t>
  </si>
  <si>
    <t>J'ai une visibilité claire sur mes perspectives d'évolution au sein de KAMA</t>
  </si>
  <si>
    <t>J'ai accès à des formations utiles pour progresser dans mon poste</t>
  </si>
  <si>
    <t>Ambiance &amp; relations sociales</t>
  </si>
  <si>
    <t>L'ambiance de travail au sein de mon équipe est bonne</t>
  </si>
  <si>
    <t>Les relations entre collègues sont basées sur le respect et l'entraide</t>
  </si>
  <si>
    <t>Les tensions ou conflits sont traités rapidement et équitablement</t>
  </si>
  <si>
    <t>Sécurité &amp; santé au travail</t>
  </si>
  <si>
    <t>Je me sens en sécurité physique dans l'exercice de mon travail</t>
  </si>
  <si>
    <t>Le niveau de stress lié à mon travail reste supportable</t>
  </si>
  <si>
    <t>Je peux concilier vie professionnelle et vie personnelle de façon satisfaisante</t>
  </si>
  <si>
    <t>Confiance envers la direction</t>
  </si>
  <si>
    <t>J'ai confiance dans les décisions prises par la direction de KAMA CI</t>
  </si>
  <si>
    <t>Je me sens traité(e) équitablement, quel que soit mon service ou mon statut</t>
  </si>
  <si>
    <t>Je recommanderais KAMA CI comme employeur à un proche</t>
  </si>
  <si>
    <t>Cette feuille sert de modèle individuel pour un répondant unique. Pour une enquête collective, utilisez l'onglet "Saisie des réponses".</t>
  </si>
  <si>
    <t>ID répondant</t>
  </si>
  <si>
    <t>Service / Direction</t>
  </si>
  <si>
    <t>Ancienneté (années)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</si>
  <si>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</si>
  <si>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</si>
  <si>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</si>
  <si>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</si>
  <si>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</si>
  <si>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</si>
  <si>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</si>
  <si>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</si>
  <si>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</si>
  <si>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</si>
  <si>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</si>
  <si>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</si>
  <si>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</si>
  <si>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</si>
  <si>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</si>
  <si>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</si>
  <si>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</si>
  <si>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</si>
  <si>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</si>
  <si>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</si>
  <si>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</si>
  <si>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</si>
  <si>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</si>
  <si>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</si>
  <si>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Commentaire libre (facultatif)</t>
  </si>
  <si>
    <t>Résultats du baromètre social — KAMA CI</t>
  </si>
  <si>
    <t>Nombre de répondants pris en compte</t>
  </si>
  <si>
    <t>Score moyen /5</t>
  </si>
  <si>
    <t>Score %</t>
  </si>
  <si>
    <t>Lecture</t>
  </si>
  <si>
    <t>Commentaire</t>
  </si>
  <si>
    <t>SCORE GLOBAL</t>
  </si>
  <si>
    <t>Légende de lecture</t>
  </si>
  <si>
    <t>Alerte</t>
  </si>
  <si>
    <t>&lt; 2,5 — point de tension nécessitant une action RH prioritaire</t>
  </si>
  <si>
    <t>Fragile</t>
  </si>
  <si>
    <t>2,5 à 3,4 — vigilance et plan d'action à envisager</t>
  </si>
  <si>
    <t>Correct</t>
  </si>
  <si>
    <t>3,5 à 4,2 — climat globalement sain, marge de progrès</t>
  </si>
  <si>
    <t>Solide</t>
  </si>
  <si>
    <t>&gt; 4,2 — point fort à préserver et valoriser</t>
  </si>
  <si>
    <t>Departement</t>
  </si>
  <si>
    <t>Ancienité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</si>
</sst>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2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b/>
      <sz val="11"/>
      <color rgb="FF1F4E78"/>
      <name val="Arial"/>
      <charset val="1"/>
    </font>
    <font>
      <b/>
      <sz val="12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C6E0B4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/>
    <xf numFmtId="0" fontId="7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/>
    <xf numFmtId="2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11" fillId="0" borderId="1" xfId="0" applyFont="1" applyBorder="1"/>
    <xf numFmtId="2" fontId="11" fillId="0" borderId="1" xfId="0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0" xfId="0" applyFont="1"/>
    <xf numFmtId="0" fontId="9" fillId="6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7" borderId="0" xfId="0" applyFont="1" applyFill="1"/>
    <xf numFmtId="0" fontId="1" fillId="0" borderId="0" xfId="0" applyFont="1"/>
    <xf numFmtId="0" fontId="0" fillId="0" borderId="0" xfId="0"/>
    <xf numFmtId="0" fontId="6" fillId="0" borderId="0" xfId="0" applyFont="1"/>
    <xf numFmtId="0" fontId="0" fillId="0" borderId="2" xfId="0" applyBorder="1"/>
  </cellXfs>
  <cellStyles count="1">
    <cellStyle name="Normal" xfId="0" builtinId="0"/>
  </cellStyles>
  <dxfs count="4">
    <dxf>
      <fill>
        <patternFill>
          <bgColor rgb="FFC6E0B4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Score moyen par thème (/5)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Résultats!$B$5</c:f>
              <c:strCache>
                <c:ptCount val="1"/>
                <c:pt idx="0">
                  <c:v>Score moyen /5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G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Résultats!$A$6:$A$13</c:f>
              <c:strCache>
                <c:ptCount val="8"/>
                <c:pt idx="0">
                  <c:v>Rémunération &amp; avantages</c:v>
                </c:pt>
                <c:pt idx="1">
                  <c:v>Conditions de travail &amp; charge</c:v>
                </c:pt>
                <c:pt idx="2">
                  <c:v>Management &amp; encadrement</c:v>
                </c:pt>
                <c:pt idx="3">
                  <c:v>Communication interne</c:v>
                </c:pt>
                <c:pt idx="4">
                  <c:v>Reconnaissance &amp; évolution</c:v>
                </c:pt>
                <c:pt idx="5">
                  <c:v>Ambiance &amp; relations sociales</c:v>
                </c:pt>
                <c:pt idx="6">
                  <c:v>Sécurité &amp; santé au travail</c:v>
                </c:pt>
                <c:pt idx="7">
                  <c:v>Confiance envers la direction</c:v>
                </c:pt>
              </c:strCache>
            </c:strRef>
          </c:cat>
          <c:val>
            <c:numRef>
              <c:f>Résultats!$B$6:$B$13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3-47CD-B154-5EFFEE661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60606"/>
        <c:axId val="11891452"/>
      </c:barChart>
      <c:catAx>
        <c:axId val="24060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GN"/>
          </a:p>
        </c:txPr>
        <c:crossAx val="11891452"/>
        <c:crosses val="autoZero"/>
        <c:auto val="1"/>
        <c:lblAlgn val="ctr"/>
        <c:lblOffset val="100"/>
        <c:noMultiLvlLbl val="0"/>
      </c:catAx>
      <c:valAx>
        <c:axId val="11891452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Score /5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GN"/>
          </a:p>
        </c:txPr>
        <c:crossAx val="24060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G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131040</xdr:rowOff>
    </xdr:from>
    <xdr:to>
      <xdr:col>18</xdr:col>
      <xdr:colOff>581400</xdr:colOff>
      <xdr:row>23</xdr:row>
      <xdr:rowOff>129960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7"/>
  <sheetViews>
    <sheetView showGridLines="0" topLeftCell="A9" zoomScaleNormal="100" workbookViewId="0"/>
  </sheetViews>
  <sheetFormatPr baseColWidth="10" defaultColWidth="8.6328125" defaultRowHeight="14.5" x14ac:dyDescent="0.35"/>
  <cols>
    <col min="1" max="1" width="100" customWidth="1"/>
  </cols>
  <sheetData>
    <row r="2" spans="1:1" ht="20" x14ac:dyDescent="0.35">
      <c r="A2" s="1" t="s">
        <v>0</v>
      </c>
    </row>
    <row r="4" spans="1:1" ht="15.5" x14ac:dyDescent="0.35">
      <c r="A4" s="2" t="s">
        <v>1</v>
      </c>
    </row>
    <row r="5" spans="1:1" ht="42" x14ac:dyDescent="0.35">
      <c r="A5" s="3" t="s">
        <v>2</v>
      </c>
    </row>
    <row r="7" spans="1:1" ht="15.5" x14ac:dyDescent="0.35">
      <c r="A7" s="2" t="s">
        <v>3</v>
      </c>
    </row>
    <row r="8" spans="1:1" ht="28" x14ac:dyDescent="0.35">
      <c r="A8" s="3" t="s">
        <v>4</v>
      </c>
    </row>
    <row r="9" spans="1:1" ht="28" x14ac:dyDescent="0.35">
      <c r="A9" s="3" t="s">
        <v>5</v>
      </c>
    </row>
    <row r="10" spans="1:1" ht="28" x14ac:dyDescent="0.35">
      <c r="A10" s="3" t="s">
        <v>6</v>
      </c>
    </row>
    <row r="11" spans="1:1" ht="28" x14ac:dyDescent="0.35">
      <c r="A11" s="3" t="s">
        <v>7</v>
      </c>
    </row>
    <row r="13" spans="1:1" ht="15.5" x14ac:dyDescent="0.35">
      <c r="A13" s="2" t="s">
        <v>8</v>
      </c>
    </row>
    <row r="14" spans="1:1" ht="28" x14ac:dyDescent="0.35">
      <c r="A14" s="3" t="s">
        <v>9</v>
      </c>
    </row>
    <row r="16" spans="1:1" ht="15.5" x14ac:dyDescent="0.35">
      <c r="A16" s="2" t="s">
        <v>10</v>
      </c>
    </row>
    <row r="17" spans="1:1" ht="56" x14ac:dyDescent="0.35">
      <c r="A17" s="3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zoomScaleNormal="100" workbookViewId="0">
      <pane ySplit="4" topLeftCell="A5" activePane="bottomLeft" state="frozen"/>
      <selection pane="bottomLeft" activeCell="E13" sqref="E13"/>
    </sheetView>
  </sheetViews>
  <sheetFormatPr baseColWidth="10" defaultColWidth="8.6328125" defaultRowHeight="14.5" x14ac:dyDescent="0.35"/>
  <cols>
    <col min="1" max="1" width="6" customWidth="1"/>
    <col min="2" max="2" width="26" customWidth="1"/>
    <col min="3" max="3" width="75" customWidth="1"/>
    <col min="4" max="4" width="18" customWidth="1"/>
  </cols>
  <sheetData>
    <row r="1" spans="1:4" x14ac:dyDescent="0.35">
      <c r="B1" s="31" t="s">
        <v>93</v>
      </c>
      <c r="C1" s="31"/>
    </row>
    <row r="2" spans="1:4" x14ac:dyDescent="0.35">
      <c r="B2" s="31" t="s">
        <v>94</v>
      </c>
      <c r="C2" s="31"/>
    </row>
    <row r="4" spans="1:4" x14ac:dyDescent="0.35">
      <c r="A4" s="4" t="s">
        <v>12</v>
      </c>
      <c r="B4" s="4" t="s">
        <v>13</v>
      </c>
      <c r="C4" s="4" t="s">
        <v>14</v>
      </c>
      <c r="D4" s="4" t="s">
        <v>15</v>
      </c>
    </row>
    <row r="5" spans="1:4" x14ac:dyDescent="0.35">
      <c r="A5" s="5">
        <v>1</v>
      </c>
      <c r="B5" s="6" t="s">
        <v>16</v>
      </c>
      <c r="C5" s="7" t="s">
        <v>17</v>
      </c>
      <c r="D5" s="8">
        <v>1</v>
      </c>
    </row>
    <row r="6" spans="1:4" x14ac:dyDescent="0.35">
      <c r="A6" s="5">
        <v>2</v>
      </c>
      <c r="B6" s="6" t="s">
        <v>16</v>
      </c>
      <c r="C6" s="7" t="s">
        <v>18</v>
      </c>
      <c r="D6" s="8">
        <v>1</v>
      </c>
    </row>
    <row r="7" spans="1:4" x14ac:dyDescent="0.35">
      <c r="A7" s="5">
        <v>3</v>
      </c>
      <c r="B7" s="6" t="s">
        <v>16</v>
      </c>
      <c r="C7" s="7" t="s">
        <v>19</v>
      </c>
      <c r="D7" s="8">
        <v>1</v>
      </c>
    </row>
    <row r="8" spans="1:4" x14ac:dyDescent="0.35">
      <c r="A8" s="5">
        <v>4</v>
      </c>
      <c r="B8" s="9" t="s">
        <v>20</v>
      </c>
      <c r="C8" s="7" t="s">
        <v>21</v>
      </c>
      <c r="D8" s="8">
        <v>1</v>
      </c>
    </row>
    <row r="9" spans="1:4" x14ac:dyDescent="0.35">
      <c r="A9" s="5">
        <v>5</v>
      </c>
      <c r="B9" s="9" t="s">
        <v>20</v>
      </c>
      <c r="C9" s="7" t="s">
        <v>22</v>
      </c>
      <c r="D9" s="8">
        <v>1</v>
      </c>
    </row>
    <row r="10" spans="1:4" x14ac:dyDescent="0.35">
      <c r="A10" s="5">
        <v>6</v>
      </c>
      <c r="B10" s="9" t="s">
        <v>20</v>
      </c>
      <c r="C10" s="7" t="s">
        <v>23</v>
      </c>
      <c r="D10" s="8">
        <v>2</v>
      </c>
    </row>
    <row r="11" spans="1:4" x14ac:dyDescent="0.35">
      <c r="A11" s="5">
        <v>7</v>
      </c>
      <c r="B11" s="6" t="s">
        <v>24</v>
      </c>
      <c r="C11" s="7" t="s">
        <v>25</v>
      </c>
      <c r="D11" s="8">
        <v>2</v>
      </c>
    </row>
    <row r="12" spans="1:4" x14ac:dyDescent="0.35">
      <c r="A12" s="5">
        <v>8</v>
      </c>
      <c r="B12" s="6" t="s">
        <v>24</v>
      </c>
      <c r="C12" s="7" t="s">
        <v>26</v>
      </c>
      <c r="D12" s="8"/>
    </row>
    <row r="13" spans="1:4" x14ac:dyDescent="0.35">
      <c r="A13" s="5">
        <v>9</v>
      </c>
      <c r="B13" s="6" t="s">
        <v>24</v>
      </c>
      <c r="C13" s="7" t="s">
        <v>27</v>
      </c>
      <c r="D13" s="8"/>
    </row>
    <row r="14" spans="1:4" x14ac:dyDescent="0.35">
      <c r="A14" s="5">
        <v>10</v>
      </c>
      <c r="B14" s="9" t="s">
        <v>28</v>
      </c>
      <c r="C14" s="7" t="s">
        <v>29</v>
      </c>
      <c r="D14" s="8"/>
    </row>
    <row r="15" spans="1:4" x14ac:dyDescent="0.35">
      <c r="A15" s="5">
        <v>11</v>
      </c>
      <c r="B15" s="9" t="s">
        <v>28</v>
      </c>
      <c r="C15" s="7" t="s">
        <v>30</v>
      </c>
      <c r="D15" s="8"/>
    </row>
    <row r="16" spans="1:4" x14ac:dyDescent="0.35">
      <c r="A16" s="5">
        <v>12</v>
      </c>
      <c r="B16" s="9" t="s">
        <v>28</v>
      </c>
      <c r="C16" s="7" t="s">
        <v>31</v>
      </c>
      <c r="D16" s="8"/>
    </row>
    <row r="17" spans="1:4" x14ac:dyDescent="0.35">
      <c r="A17" s="5">
        <v>13</v>
      </c>
      <c r="B17" s="6" t="s">
        <v>32</v>
      </c>
      <c r="C17" s="7" t="s">
        <v>33</v>
      </c>
      <c r="D17" s="8"/>
    </row>
    <row r="18" spans="1:4" x14ac:dyDescent="0.35">
      <c r="A18" s="5">
        <v>14</v>
      </c>
      <c r="B18" s="6" t="s">
        <v>32</v>
      </c>
      <c r="C18" s="7" t="s">
        <v>34</v>
      </c>
      <c r="D18" s="8"/>
    </row>
    <row r="19" spans="1:4" x14ac:dyDescent="0.35">
      <c r="A19" s="5">
        <v>15</v>
      </c>
      <c r="B19" s="6" t="s">
        <v>32</v>
      </c>
      <c r="C19" s="7" t="s">
        <v>35</v>
      </c>
      <c r="D19" s="8"/>
    </row>
    <row r="20" spans="1:4" x14ac:dyDescent="0.35">
      <c r="A20" s="5">
        <v>16</v>
      </c>
      <c r="B20" s="9" t="s">
        <v>36</v>
      </c>
      <c r="C20" s="7" t="s">
        <v>37</v>
      </c>
      <c r="D20" s="8"/>
    </row>
    <row r="21" spans="1:4" x14ac:dyDescent="0.35">
      <c r="A21" s="5">
        <v>17</v>
      </c>
      <c r="B21" s="9" t="s">
        <v>36</v>
      </c>
      <c r="C21" s="7" t="s">
        <v>38</v>
      </c>
      <c r="D21" s="8"/>
    </row>
    <row r="22" spans="1:4" x14ac:dyDescent="0.35">
      <c r="A22" s="5">
        <v>18</v>
      </c>
      <c r="B22" s="9" t="s">
        <v>36</v>
      </c>
      <c r="C22" s="7" t="s">
        <v>39</v>
      </c>
      <c r="D22" s="8"/>
    </row>
    <row r="23" spans="1:4" x14ac:dyDescent="0.35">
      <c r="A23" s="5">
        <v>19</v>
      </c>
      <c r="B23" s="6" t="s">
        <v>40</v>
      </c>
      <c r="C23" s="7" t="s">
        <v>41</v>
      </c>
      <c r="D23" s="8"/>
    </row>
    <row r="24" spans="1:4" x14ac:dyDescent="0.35">
      <c r="A24" s="5">
        <v>20</v>
      </c>
      <c r="B24" s="6" t="s">
        <v>40</v>
      </c>
      <c r="C24" s="7" t="s">
        <v>42</v>
      </c>
      <c r="D24" s="8"/>
    </row>
    <row r="25" spans="1:4" x14ac:dyDescent="0.35">
      <c r="A25" s="5">
        <v>21</v>
      </c>
      <c r="B25" s="6" t="s">
        <v>40</v>
      </c>
      <c r="C25" s="7" t="s">
        <v>43</v>
      </c>
      <c r="D25" s="8"/>
    </row>
    <row r="26" spans="1:4" x14ac:dyDescent="0.35">
      <c r="A26" s="5">
        <v>22</v>
      </c>
      <c r="B26" s="9" t="s">
        <v>44</v>
      </c>
      <c r="C26" s="7" t="s">
        <v>45</v>
      </c>
      <c r="D26" s="8"/>
    </row>
    <row r="27" spans="1:4" x14ac:dyDescent="0.35">
      <c r="A27" s="5">
        <v>23</v>
      </c>
      <c r="B27" s="9" t="s">
        <v>44</v>
      </c>
      <c r="C27" s="7" t="s">
        <v>46</v>
      </c>
      <c r="D27" s="8"/>
    </row>
    <row r="28" spans="1:4" x14ac:dyDescent="0.35">
      <c r="A28" s="5">
        <v>24</v>
      </c>
      <c r="B28" s="9" t="s">
        <v>44</v>
      </c>
      <c r="C28" s="7" t="s">
        <v>47</v>
      </c>
      <c r="D28" s="8"/>
    </row>
    <row r="30" spans="1:4" x14ac:dyDescent="0.35">
      <c r="A30" s="30" t="s">
        <v>48</v>
      </c>
      <c r="B30" s="30"/>
      <c r="C30" s="30"/>
      <c r="D30" s="30"/>
    </row>
  </sheetData>
  <mergeCells count="1">
    <mergeCell ref="A30:D30"/>
  </mergeCells>
  <dataValidations count="1">
    <dataValidation type="whole" allowBlank="1" showErrorMessage="1" errorTitle="Valeur invalide" error="Merci de saisir une note entière entre 1 et 5." sqref="D5:D28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"/>
  <sheetViews>
    <sheetView showGridLines="0" tabSelected="1" zoomScaleNormal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baseColWidth="10" defaultColWidth="8.6328125" defaultRowHeight="14.5" x14ac:dyDescent="0.35"/>
  <cols>
    <col min="1" max="1" width="12" customWidth="1"/>
    <col min="2" max="2" width="22" customWidth="1"/>
    <col min="3" max="3" width="16" customWidth="1"/>
    <col min="4" max="27" width="6" customWidth="1"/>
    <col min="28" max="28" width="35" customWidth="1"/>
  </cols>
  <sheetData>
    <row r="1" spans="1:28" ht="30" customHeight="1" x14ac:dyDescent="0.35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  <c r="T1" s="10" t="s">
        <v>68</v>
      </c>
      <c r="U1" s="10" t="s">
        <v>69</v>
      </c>
      <c r="V1" s="10" t="s">
        <v>70</v>
      </c>
      <c r="W1" s="10" t="s">
        <v>71</v>
      </c>
      <c r="X1" s="10" t="s">
        <v>72</v>
      </c>
      <c r="Y1" s="10" t="s">
        <v>73</v>
      </c>
      <c r="Z1" s="10" t="s">
        <v>74</v>
      </c>
      <c r="AA1" s="10" t="s">
        <v>75</v>
      </c>
      <c r="AB1" s="10" t="s">
        <v>76</v>
      </c>
    </row>
    <row r="2">
      <c r="A2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>
        <v>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>
        <v>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>
        <v>8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>
        <v>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>
        <v>10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>
        <v>11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>
        <v>12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>
        <v>13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>
        <v>14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>
        <v>15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>
        <v>16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>
        <v>17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>
        <v>18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>
        <v>19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>
        <v>20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>
        <v>21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>
        <v>22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>
        <v>23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>
        <v>24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>
        <v>25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>
        <v>26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>
        <v>27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>
        <v>28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>
        <v>29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>
        <v>30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>
        <v>31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>
        <v>32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>
        <v>33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>
        <v>34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>
        <v>35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>
        <v>36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>
        <v>37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>
        <v>38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>
        <v>39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>
        <v>40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</sheetData>
  <dataValidations count="1">
    <dataValidation type="whole" allowBlank="1" showErrorMessage="1" errorTitle="Valeur invalide" error="Merci de saisir une note entière entre 1 et 5." sqref="D2:AA41" xr:uid="{00000000-0002-0000-02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zoomScaleNormal="100" workbookViewId="0">
      <selection activeCell="B6" sqref="B6"/>
    </sheetView>
  </sheetViews>
  <sheetFormatPr baseColWidth="10" defaultColWidth="8.6328125" defaultRowHeight="14.5" x14ac:dyDescent="0.35"/>
  <cols>
    <col min="1" max="1" width="30" customWidth="1"/>
    <col min="2" max="3" width="14" customWidth="1"/>
    <col min="4" max="4" width="20" customWidth="1"/>
    <col min="5" max="5" width="45" customWidth="1"/>
  </cols>
  <sheetData>
    <row r="1" spans="1:5" ht="20" x14ac:dyDescent="0.4">
      <c r="A1" s="28" t="s">
        <v>77</v>
      </c>
      <c r="B1" s="28"/>
      <c r="C1" s="28"/>
      <c r="D1" s="28"/>
      <c r="E1" s="28"/>
    </row>
    <row r="3" spans="1:5" x14ac:dyDescent="0.35">
      <c r="A3" s="12" t="s">
        <v>78</v>
      </c>
      <c r="B3" s="13">
        <f>COUNT('Saisie des réponses'!D2:D1000)</f>
      </c>
    </row>
    <row r="5" spans="1:5" ht="28" x14ac:dyDescent="0.35">
      <c r="A5" s="4" t="s">
        <v>13</v>
      </c>
      <c r="B5" s="4" t="s">
        <v>79</v>
      </c>
      <c r="C5" s="4" t="s">
        <v>80</v>
      </c>
      <c r="D5" s="4" t="s">
        <v>81</v>
      </c>
      <c r="E5" s="4" t="s">
        <v>82</v>
      </c>
    </row>
    <row r="6" spans="1:5" x14ac:dyDescent="0.35">
      <c r="A6" s="14" t="s">
        <v>16</v>
      </c>
      <c r="B6" s="15" t="str">
        <f>IFERROR(AVERAGE('Saisie des réponses'!D2:F1000),"")</f>
        <v/>
      </c>
      <c r="C6" s="16" t="str">
        <f t="shared" ref="C6:C13" si="0">IFERROR(B6/5,"")</f>
        <v/>
      </c>
      <c r="D6" s="17" t="str">
        <f t="shared" ref="D6:D13" si="1">IF(B6="","",IF(B6&lt;2.5,"Alerte",IF(B6&lt;3.5,"Fragile",IF(B6&lt;4.2,"Correct","Solide"))))</f>
        <v/>
      </c>
    </row>
    <row r="7" spans="1:5" x14ac:dyDescent="0.35">
      <c r="A7" s="14" t="s">
        <v>20</v>
      </c>
      <c r="B7" s="15" t="str">
        <f>IFERROR(AVERAGE('Saisie des réponses'!G2:I1000),"")</f>
        <v/>
      </c>
      <c r="C7" s="16" t="str">
        <f t="shared" si="0"/>
        <v/>
      </c>
      <c r="D7" s="17" t="str">
        <f t="shared" si="1"/>
        <v/>
      </c>
    </row>
    <row r="8" spans="1:5" x14ac:dyDescent="0.35">
      <c r="A8" s="14" t="s">
        <v>24</v>
      </c>
      <c r="B8" s="15" t="str">
        <f>IFERROR(AVERAGE('Saisie des réponses'!J2:L1000),"")</f>
        <v/>
      </c>
      <c r="C8" s="16" t="str">
        <f t="shared" si="0"/>
        <v/>
      </c>
      <c r="D8" s="17" t="str">
        <f t="shared" si="1"/>
        <v/>
      </c>
    </row>
    <row r="9" spans="1:5" x14ac:dyDescent="0.35">
      <c r="A9" s="14" t="s">
        <v>28</v>
      </c>
      <c r="B9" s="15" t="str">
        <f>IFERROR(AVERAGE('Saisie des réponses'!M2:O1000),"")</f>
        <v/>
      </c>
      <c r="C9" s="16" t="str">
        <f t="shared" si="0"/>
        <v/>
      </c>
      <c r="D9" s="17" t="str">
        <f t="shared" si="1"/>
        <v/>
      </c>
    </row>
    <row r="10" spans="1:5" x14ac:dyDescent="0.35">
      <c r="A10" s="14" t="s">
        <v>32</v>
      </c>
      <c r="B10" s="15" t="str">
        <f>IFERROR(AVERAGE('Saisie des réponses'!P2:R1000),"")</f>
        <v/>
      </c>
      <c r="C10" s="16" t="str">
        <f t="shared" si="0"/>
        <v/>
      </c>
      <c r="D10" s="17" t="str">
        <f t="shared" si="1"/>
        <v/>
      </c>
    </row>
    <row r="11" spans="1:5" x14ac:dyDescent="0.35">
      <c r="A11" s="14" t="s">
        <v>36</v>
      </c>
      <c r="B11" s="15" t="str">
        <f>IFERROR(AVERAGE('Saisie des réponses'!S2:U1000),"")</f>
        <v/>
      </c>
      <c r="C11" s="16" t="str">
        <f t="shared" si="0"/>
        <v/>
      </c>
      <c r="D11" s="17" t="str">
        <f t="shared" si="1"/>
        <v/>
      </c>
    </row>
    <row r="12" spans="1:5" x14ac:dyDescent="0.35">
      <c r="A12" s="14" t="s">
        <v>40</v>
      </c>
      <c r="B12" s="15" t="str">
        <f>IFERROR(AVERAGE('Saisie des réponses'!V2:X1000),"")</f>
        <v/>
      </c>
      <c r="C12" s="16" t="str">
        <f t="shared" si="0"/>
        <v/>
      </c>
      <c r="D12" s="17" t="str">
        <f t="shared" si="1"/>
        <v/>
      </c>
    </row>
    <row r="13" spans="1:5" x14ac:dyDescent="0.35">
      <c r="A13" s="14" t="s">
        <v>44</v>
      </c>
      <c r="B13" s="15" t="str">
        <f>IFERROR(AVERAGE('Saisie des réponses'!Y2:AA1000),"")</f>
        <v/>
      </c>
      <c r="C13" s="16" t="str">
        <f t="shared" si="0"/>
        <v/>
      </c>
      <c r="D13" s="17" t="str">
        <f t="shared" si="1"/>
        <v/>
      </c>
    </row>
    <row r="14" spans="1:5" x14ac:dyDescent="0.35">
      <c r="A14" s="18"/>
      <c r="B14" s="18"/>
      <c r="C14" s="18"/>
      <c r="D14" s="18"/>
    </row>
    <row r="15" spans="1:5" ht="15.5" x14ac:dyDescent="0.35">
      <c r="A15" s="19" t="s">
        <v>83</v>
      </c>
      <c r="B15" s="20" t="str">
        <f>IFERROR(AVERAGE(B6:B13),"")</f>
        <v/>
      </c>
      <c r="C15" s="21" t="str">
        <f>IFERROR(B15/5,"")</f>
        <v/>
      </c>
      <c r="D15" s="22" t="str">
        <f>IF(B15="","",IF(B15&lt;2.5,"Alerte",IF(B15&lt;3.5,"Fragile",IF(B15&lt;4.2,"Correct","Solide"))))</f>
        <v/>
      </c>
    </row>
    <row r="18" spans="1:5" ht="15.5" x14ac:dyDescent="0.35">
      <c r="A18" s="23" t="s">
        <v>84</v>
      </c>
    </row>
    <row r="19" spans="1:5" x14ac:dyDescent="0.35">
      <c r="A19" s="24" t="s">
        <v>85</v>
      </c>
      <c r="B19" s="29" t="s">
        <v>86</v>
      </c>
      <c r="C19" s="29"/>
      <c r="D19" s="29"/>
      <c r="E19" s="29"/>
    </row>
    <row r="20" spans="1:5" x14ac:dyDescent="0.35">
      <c r="A20" s="25" t="s">
        <v>87</v>
      </c>
      <c r="B20" s="29" t="s">
        <v>88</v>
      </c>
      <c r="C20" s="29"/>
      <c r="D20" s="29"/>
      <c r="E20" s="29"/>
    </row>
    <row r="21" spans="1:5" x14ac:dyDescent="0.35">
      <c r="A21" s="26" t="s">
        <v>89</v>
      </c>
      <c r="B21" s="29" t="s">
        <v>90</v>
      </c>
      <c r="C21" s="29"/>
      <c r="D21" s="29"/>
      <c r="E21" s="29"/>
    </row>
    <row r="22" spans="1:5" x14ac:dyDescent="0.35">
      <c r="A22" s="27" t="s">
        <v>91</v>
      </c>
      <c r="B22" s="29" t="s">
        <v>92</v>
      </c>
      <c r="C22" s="29"/>
      <c r="D22" s="29"/>
      <c r="E22" s="29"/>
    </row>
  </sheetData>
  <mergeCells count="5">
    <mergeCell ref="A1:E1"/>
    <mergeCell ref="B19:E19"/>
    <mergeCell ref="B20:E20"/>
    <mergeCell ref="B21:E21"/>
    <mergeCell ref="B22:E22"/>
  </mergeCells>
  <conditionalFormatting sqref="B6:B15">
    <cfRule type="cellIs" dxfId="3" priority="2" operator="lessThan">
      <formula>2.5</formula>
    </cfRule>
    <cfRule type="cellIs" dxfId="2" priority="3" operator="between">
      <formula>2.5</formula>
      <formula>3.49</formula>
    </cfRule>
    <cfRule type="cellIs" dxfId="1" priority="4" operator="between">
      <formula>3.5</formula>
      <formula>4.19</formula>
    </cfRule>
    <cfRule type="cellIs" dxfId="0" priority="5" operator="greaterThanOrEqual">
      <formula>4.2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Guide</vt:lpstr>
      <vt:lpstr>Questionnaire</vt:lpstr>
      <vt:lpstr>Saisie des réponses</vt:lpstr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firmin kesse</cp:lastModifiedBy>
  <cp:revision>1</cp:revision>
  <dcterms:created xsi:type="dcterms:W3CDTF">2026-09-17T08:18:11Z</dcterms:created>
  <dcterms:modified xsi:type="dcterms:W3CDTF">2026-09-17T11:53:09Z</dcterms:modified>
  <dc:language>en-US</dc:language>
</cp:coreProperties>
</file>